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\Documents\"/>
    </mc:Choice>
  </mc:AlternateContent>
  <xr:revisionPtr revIDLastSave="0" documentId="8_{A7565B1A-2E84-4B42-8311-A0415FE7C546}" xr6:coauthVersionLast="47" xr6:coauthVersionMax="47" xr10:uidLastSave="{00000000-0000-0000-0000-000000000000}"/>
  <bookViews>
    <workbookView xWindow="-120" yWindow="-120" windowWidth="29040" windowHeight="16440" tabRatio="0" xr2:uid="{4AB2DCEB-2878-4CF1-885E-0CC6BA7ED414}"/>
  </bookViews>
  <sheets>
    <sheet name="Planilha1" sheetId="1" r:id="rId1"/>
    <sheet name="Planilha2" sheetId="2" r:id="rId2"/>
  </sheets>
  <definedNames>
    <definedName name="aporte">Planilha1!$C$15</definedName>
    <definedName name="patrimonio">Planilha1!$C$18</definedName>
    <definedName name="qts_anos">Planilha1!$C$16</definedName>
    <definedName name="rendimento_carteira">Planilha1!$C$11</definedName>
    <definedName name="sugestao_investimento">Planilha1!$C$10</definedName>
    <definedName name="taxa_mensal">Planilha1!$C$17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" l="1"/>
  <c r="C34" i="1"/>
  <c r="C35" i="1"/>
  <c r="C36" i="1"/>
  <c r="C37" i="1"/>
  <c r="C33" i="1"/>
  <c r="G6" i="2"/>
  <c r="A16" i="2"/>
  <c r="A17" i="2"/>
  <c r="A18" i="2"/>
  <c r="A19" i="2"/>
  <c r="A20" i="2"/>
  <c r="A15" i="2"/>
  <c r="A14" i="2"/>
  <c r="A10" i="2"/>
  <c r="A11" i="2"/>
  <c r="A12" i="2"/>
  <c r="A13" i="2"/>
  <c r="A9" i="2"/>
  <c r="A8" i="2"/>
  <c r="A3" i="2"/>
  <c r="A4" i="2"/>
  <c r="A5" i="2"/>
  <c r="A6" i="2"/>
  <c r="A7" i="2"/>
  <c r="C30" i="1"/>
  <c r="C18" i="1"/>
  <c r="C19" i="1" s="1"/>
  <c r="C24" i="1"/>
  <c r="D24" i="1" s="1" a="1"/>
  <c r="D24" i="1" s="1"/>
  <c r="C25" i="1"/>
  <c r="D25" i="1" s="1" a="1"/>
  <c r="D25" i="1" s="1"/>
  <c r="C26" i="1"/>
  <c r="D26" i="1" s="1" a="1"/>
  <c r="D26" i="1" s="1"/>
  <c r="C27" i="1"/>
  <c r="D27" i="1" s="1" a="1"/>
  <c r="D27" i="1" s="1"/>
  <c r="C23" i="1"/>
  <c r="D23" i="1" s="1" a="1"/>
  <c r="D23" i="1" s="1"/>
  <c r="D34" i="1" l="1"/>
  <c r="D36" i="1"/>
  <c r="D37" i="1"/>
  <c r="D38" i="1"/>
  <c r="D35" i="1"/>
  <c r="C39" i="1"/>
  <c r="D39" i="1" s="1"/>
  <c r="D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<sst xmlns="http://schemas.openxmlformats.org/spreadsheetml/2006/main" count="70" uniqueCount="35">
  <si>
    <t>Quanto investir por mês?</t>
  </si>
  <si>
    <t>Por Quantos anos?</t>
  </si>
  <si>
    <t>Taxa de rendimento mensal?</t>
  </si>
  <si>
    <t>Patrimônio acumulado ?</t>
  </si>
  <si>
    <t>Dividendos Mensais?</t>
  </si>
  <si>
    <t>Investimento Mensal</t>
  </si>
  <si>
    <t>EM 2 ANOS?</t>
  </si>
  <si>
    <t>EM 5 ANOS?</t>
  </si>
  <si>
    <t>EM 10 ANOS?</t>
  </si>
  <si>
    <t>EM 20 ANOS?</t>
  </si>
  <si>
    <t>EM 30 ANOS?</t>
  </si>
  <si>
    <t>Cenários</t>
  </si>
  <si>
    <t>DIVIDENDOS</t>
  </si>
  <si>
    <t>CONFIGURAÇÕES</t>
  </si>
  <si>
    <t>salário</t>
  </si>
  <si>
    <t>Rendimento carteira</t>
  </si>
  <si>
    <t>Sugestão de Investimento</t>
  </si>
  <si>
    <t>PERFIL</t>
  </si>
  <si>
    <t>MODERADO</t>
  </si>
  <si>
    <t>VALOR A SER INVESTIDO POR MÊS</t>
  </si>
  <si>
    <t>TIPO DE FII</t>
  </si>
  <si>
    <t>PAPEL</t>
  </si>
  <si>
    <t>TIJOLO</t>
  </si>
  <si>
    <t>HIBRIDOS</t>
  </si>
  <si>
    <t>FOFs</t>
  </si>
  <si>
    <t>DESENVOLVIMENTO</t>
  </si>
  <si>
    <t>HOTELARIAS</t>
  </si>
  <si>
    <t>Percentual Sugerido</t>
  </si>
  <si>
    <t>Valores</t>
  </si>
  <si>
    <t>Total</t>
  </si>
  <si>
    <t>CONSERVADOR</t>
  </si>
  <si>
    <t>Perfil</t>
  </si>
  <si>
    <t>CHAVE</t>
  </si>
  <si>
    <t>AGRESSIVO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</si>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</sst>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5" formatCode="&quot;R$&quot;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0"/>
      <name val="Calibri"/>
      <family val="2"/>
    </font>
    <font>
      <b/>
      <sz val="16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2" tint="-9.9948118533890809E-2"/>
      </right>
      <top style="medium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 style="medium">
        <color indexed="64"/>
      </top>
      <bottom style="thin">
        <color theme="2" tint="-9.9948118533890809E-2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theme="2"/>
      </right>
      <top style="medium">
        <color indexed="64"/>
      </top>
      <bottom style="medium">
        <color theme="2"/>
      </bottom>
      <diagonal/>
    </border>
    <border>
      <left style="medium">
        <color theme="2"/>
      </left>
      <right style="medium">
        <color indexed="64"/>
      </right>
      <top style="medium">
        <color indexed="64"/>
      </top>
      <bottom style="medium">
        <color theme="2"/>
      </bottom>
      <diagonal/>
    </border>
    <border>
      <left style="medium">
        <color indexed="64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medium">
        <color theme="2"/>
      </left>
      <right style="medium">
        <color indexed="64"/>
      </right>
      <top style="medium">
        <color theme="2"/>
      </top>
      <bottom style="medium">
        <color theme="2"/>
      </bottom>
      <diagonal/>
    </border>
    <border>
      <left style="medium">
        <color indexed="64"/>
      </left>
      <right style="medium">
        <color theme="2"/>
      </right>
      <top style="medium">
        <color theme="2"/>
      </top>
      <bottom style="medium">
        <color indexed="64"/>
      </bottom>
      <diagonal/>
    </border>
    <border>
      <left style="medium">
        <color theme="2"/>
      </left>
      <right style="medium">
        <color indexed="64"/>
      </right>
      <top style="medium">
        <color theme="2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3" fillId="4" borderId="0" xfId="0" applyFont="1" applyFill="1"/>
    <xf numFmtId="0" fontId="0" fillId="0" borderId="0" xfId="0" applyBorder="1"/>
    <xf numFmtId="0" fontId="0" fillId="0" borderId="13" xfId="0" applyBorder="1"/>
    <xf numFmtId="0" fontId="2" fillId="4" borderId="0" xfId="0" applyFont="1" applyFill="1" applyBorder="1"/>
    <xf numFmtId="0" fontId="4" fillId="0" borderId="0" xfId="0" applyFont="1"/>
    <xf numFmtId="0" fontId="6" fillId="0" borderId="0" xfId="0" applyFont="1"/>
    <xf numFmtId="0" fontId="6" fillId="0" borderId="17" xfId="0" applyFont="1" applyBorder="1"/>
    <xf numFmtId="165" fontId="6" fillId="0" borderId="18" xfId="1" applyNumberFormat="1" applyFont="1" applyBorder="1"/>
    <xf numFmtId="10" fontId="6" fillId="0" borderId="18" xfId="2" applyNumberFormat="1" applyFont="1" applyBorder="1"/>
    <xf numFmtId="0" fontId="6" fillId="0" borderId="19" xfId="0" applyFont="1" applyBorder="1"/>
    <xf numFmtId="165" fontId="6" fillId="0" borderId="20" xfId="1" applyNumberFormat="1" applyFont="1" applyBorder="1"/>
    <xf numFmtId="0" fontId="6" fillId="0" borderId="7" xfId="0" applyFont="1" applyBorder="1" applyAlignment="1">
      <alignment wrapText="1"/>
    </xf>
    <xf numFmtId="165" fontId="6" fillId="0" borderId="8" xfId="0" applyNumberFormat="1" applyFont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 applyAlignment="1">
      <alignment horizontal="center" vertical="center"/>
    </xf>
    <xf numFmtId="10" fontId="6" fillId="0" borderId="10" xfId="0" applyNumberFormat="1" applyFont="1" applyBorder="1" applyAlignment="1">
      <alignment horizontal="center"/>
    </xf>
    <xf numFmtId="0" fontId="7" fillId="3" borderId="9" xfId="0" applyFont="1" applyFill="1" applyBorder="1"/>
    <xf numFmtId="8" fontId="7" fillId="3" borderId="10" xfId="0" applyNumberFormat="1" applyFont="1" applyFill="1" applyBorder="1" applyAlignment="1">
      <alignment horizontal="center"/>
    </xf>
    <xf numFmtId="0" fontId="7" fillId="3" borderId="11" xfId="0" applyFont="1" applyFill="1" applyBorder="1"/>
    <xf numFmtId="8" fontId="7" fillId="3" borderId="12" xfId="0" applyNumberFormat="1" applyFont="1" applyFill="1" applyBorder="1" applyAlignment="1">
      <alignment horizontal="center"/>
    </xf>
    <xf numFmtId="0" fontId="7" fillId="4" borderId="0" xfId="0" applyFont="1" applyFill="1" applyBorder="1"/>
    <xf numFmtId="8" fontId="7" fillId="4" borderId="0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8" fontId="6" fillId="0" borderId="14" xfId="0" applyNumberFormat="1" applyFont="1" applyBorder="1" applyAlignment="1">
      <alignment horizontal="left"/>
    </xf>
    <xf numFmtId="8" fontId="6" fillId="0" borderId="2" xfId="0" applyNumberFormat="1" applyFont="1" applyBorder="1" applyAlignment="1">
      <alignment horizontal="left"/>
    </xf>
    <xf numFmtId="0" fontId="6" fillId="0" borderId="3" xfId="0" applyFont="1" applyBorder="1" applyAlignment="1">
      <alignment horizontal="left"/>
    </xf>
    <xf numFmtId="8" fontId="6" fillId="0" borderId="0" xfId="0" applyNumberFormat="1" applyFont="1" applyBorder="1" applyAlignment="1">
      <alignment horizontal="left"/>
    </xf>
    <xf numFmtId="8" fontId="6" fillId="0" borderId="4" xfId="0" applyNumberFormat="1" applyFont="1" applyBorder="1" applyAlignment="1">
      <alignment horizontal="left"/>
    </xf>
    <xf numFmtId="0" fontId="6" fillId="0" borderId="5" xfId="0" applyFont="1" applyBorder="1" applyAlignment="1">
      <alignment horizontal="left"/>
    </xf>
    <xf numFmtId="8" fontId="6" fillId="0" borderId="13" xfId="0" applyNumberFormat="1" applyFont="1" applyBorder="1" applyAlignment="1">
      <alignment horizontal="left"/>
    </xf>
    <xf numFmtId="8" fontId="6" fillId="0" borderId="6" xfId="0" applyNumberFormat="1" applyFont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8" fillId="5" borderId="15" xfId="0" applyFont="1" applyFill="1" applyBorder="1" applyAlignment="1">
      <alignment horizontal="left"/>
    </xf>
    <xf numFmtId="0" fontId="8" fillId="5" borderId="16" xfId="0" applyFont="1" applyFill="1" applyBorder="1" applyAlignment="1">
      <alignment horizontal="left"/>
    </xf>
    <xf numFmtId="0" fontId="7" fillId="6" borderId="0" xfId="0" applyFont="1" applyFill="1" applyBorder="1" applyAlignment="1">
      <alignment horizontal="left"/>
    </xf>
    <xf numFmtId="0" fontId="6" fillId="3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9" fontId="4" fillId="0" borderId="0" xfId="0" applyNumberFormat="1" applyFont="1"/>
    <xf numFmtId="165" fontId="4" fillId="0" borderId="0" xfId="0" applyNumberFormat="1" applyFont="1"/>
    <xf numFmtId="0" fontId="4" fillId="6" borderId="0" xfId="0" applyFont="1" applyFill="1"/>
    <xf numFmtId="0" fontId="4" fillId="3" borderId="0" xfId="0" applyFont="1" applyFill="1"/>
    <xf numFmtId="0" fontId="5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/>
    </xf>
    <xf numFmtId="165" fontId="4" fillId="3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4" fillId="0" borderId="13" xfId="0" applyFont="1" applyBorder="1" applyAlignment="1">
      <alignment horizontal="center"/>
    </xf>
    <xf numFmtId="9" fontId="4" fillId="0" borderId="13" xfId="0" applyNumberFormat="1" applyFont="1" applyBorder="1"/>
    <xf numFmtId="9" fontId="4" fillId="0" borderId="0" xfId="0" applyNumberFormat="1" applyFont="1" applyFill="1" applyBorder="1"/>
    <xf numFmtId="9" fontId="0" fillId="0" borderId="0" xfId="2" applyNumberFormat="1" applyFont="1"/>
    <xf numFmtId="9" fontId="0" fillId="0" borderId="13" xfId="2" applyNumberFormat="1" applyFont="1" applyBorder="1"/>
    <xf numFmtId="9" fontId="0" fillId="0" borderId="13" xfId="0" applyNumberFormat="1" applyBorder="1"/>
    <xf numFmtId="0" fontId="0" fillId="5" borderId="0" xfId="0" applyFill="1"/>
    <xf numFmtId="9" fontId="0" fillId="5" borderId="0" xfId="2" applyNumberFormat="1" applyFont="1" applyFill="1"/>
    <xf numFmtId="9" fontId="2" fillId="7" borderId="0" xfId="0" applyNumberFormat="1" applyFont="1" applyFill="1"/>
    <xf numFmtId="165" fontId="5" fillId="7" borderId="0" xfId="0" applyNumberFormat="1" applyFont="1" applyFill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48B65-7A64-4AF7-BDF1-51C16273A754}">
  <sheetPr>
    <pageSetUpPr autoPageBreaks="0"/>
  </sheetPr>
  <dimension ref="A1:G42"/>
  <sheetViews>
    <sheetView showGridLines="0" showRowColHeaders="0" tabSelected="1" zoomScaleNormal="100" workbookViewId="0">
      <selection activeCell="G29" sqref="G29"/>
    </sheetView>
  </sheetViews>
  <sheetFormatPr defaultColWidth="0" defaultRowHeight="15" zeroHeight="1" x14ac:dyDescent="0.25"/>
  <cols>
    <col min="1" max="1" width="9.140625" customWidth="1"/>
    <col min="2" max="2" width="42.5703125" customWidth="1"/>
    <col min="3" max="3" width="31" customWidth="1"/>
    <col min="4" max="4" width="29.140625" customWidth="1"/>
    <col min="5" max="5" width="25.42578125" hidden="1" customWidth="1"/>
    <col min="6" max="6" width="15" customWidth="1"/>
    <col min="7" max="8" width="9.140625" customWidth="1"/>
    <col min="9" max="9" width="9.140625" hidden="1" customWidth="1"/>
    <col min="10" max="16384" width="9.140625" hidden="1"/>
  </cols>
  <sheetData>
    <row r="1" spans="2:4" x14ac:dyDescent="0.25"/>
    <row r="2" spans="2:4" x14ac:dyDescent="0.25"/>
    <row r="3" spans="2:4" x14ac:dyDescent="0.25"/>
    <row r="4" spans="2:4" x14ac:dyDescent="0.25"/>
    <row r="5" spans="2:4" x14ac:dyDescent="0.25"/>
    <row r="6" spans="2:4" x14ac:dyDescent="0.25"/>
    <row r="7" spans="2:4" x14ac:dyDescent="0.25"/>
    <row r="8" spans="2:4" ht="15.75" thickBot="1" x14ac:dyDescent="0.3"/>
    <row r="9" spans="2:4" ht="19.5" thickBot="1" x14ac:dyDescent="0.35">
      <c r="B9" s="37" t="s">
        <v>13</v>
      </c>
      <c r="C9" s="38"/>
      <c r="D9" s="6"/>
    </row>
    <row r="10" spans="2:4" ht="16.5" thickBot="1" x14ac:dyDescent="0.3">
      <c r="B10" s="7" t="s">
        <v>14</v>
      </c>
      <c r="C10" s="8">
        <v>5000</v>
      </c>
      <c r="D10" s="6"/>
    </row>
    <row r="11" spans="2:4" ht="16.5" thickBot="1" x14ac:dyDescent="0.3">
      <c r="B11" s="7" t="s">
        <v>15</v>
      </c>
      <c r="C11" s="9">
        <v>6.0000000000000001E-3</v>
      </c>
      <c r="D11" s="6"/>
    </row>
    <row r="12" spans="2:4" ht="16.5" thickBot="1" x14ac:dyDescent="0.3">
      <c r="B12" s="10" t="s">
        <v>16</v>
      </c>
      <c r="C12" s="11">
        <v>1500</v>
      </c>
      <c r="D12" s="6"/>
    </row>
    <row r="13" spans="2:4" ht="16.5" thickBot="1" x14ac:dyDescent="0.3">
      <c r="B13" s="6"/>
      <c r="C13" s="6"/>
      <c r="D13" s="6"/>
    </row>
    <row r="14" spans="2:4" ht="21.75" thickBot="1" x14ac:dyDescent="0.4">
      <c r="B14" s="35" t="s">
        <v>5</v>
      </c>
      <c r="C14" s="36"/>
      <c r="D14" s="6"/>
    </row>
    <row r="15" spans="2:4" ht="15.75" x14ac:dyDescent="0.25">
      <c r="B15" s="12" t="s">
        <v>0</v>
      </c>
      <c r="C15" s="13">
        <v>1500</v>
      </c>
      <c r="D15" s="6"/>
    </row>
    <row r="16" spans="2:4" ht="15.75" x14ac:dyDescent="0.25">
      <c r="B16" s="14" t="s">
        <v>1</v>
      </c>
      <c r="C16" s="15">
        <v>5</v>
      </c>
      <c r="D16" s="6"/>
    </row>
    <row r="17" spans="1:4" ht="15.75" x14ac:dyDescent="0.25">
      <c r="B17" s="14" t="s">
        <v>2</v>
      </c>
      <c r="C17" s="16">
        <v>1.076E-2</v>
      </c>
      <c r="D17" s="6"/>
    </row>
    <row r="18" spans="1:4" ht="15.75" x14ac:dyDescent="0.25">
      <c r="B18" s="17" t="s">
        <v>3</v>
      </c>
      <c r="C18" s="18">
        <f>FV(taxa_mensal,qts_anos*12,aporte*-1)</f>
        <v>125543.49501025397</v>
      </c>
      <c r="D18" s="6"/>
    </row>
    <row r="19" spans="1:4" ht="16.5" thickBot="1" x14ac:dyDescent="0.3">
      <c r="B19" s="19" t="s">
        <v>4</v>
      </c>
      <c r="C19" s="20">
        <f>patrimonio*rendimento_carteira</f>
        <v>753.26097006152384</v>
      </c>
      <c r="D19" s="6"/>
    </row>
    <row r="20" spans="1:4" s="4" customFormat="1" ht="15.75" x14ac:dyDescent="0.25">
      <c r="B20" s="21"/>
      <c r="C20" s="22"/>
      <c r="D20" s="21"/>
    </row>
    <row r="21" spans="1:4" s="4" customFormat="1" ht="15.75" x14ac:dyDescent="0.25">
      <c r="B21" s="21"/>
      <c r="C21" s="22"/>
      <c r="D21" s="21"/>
    </row>
    <row r="22" spans="1:4" ht="21.75" thickBot="1" x14ac:dyDescent="0.4">
      <c r="B22" s="32" t="s">
        <v>11</v>
      </c>
      <c r="C22" s="33"/>
      <c r="D22" s="34" t="s">
        <v>12</v>
      </c>
    </row>
    <row r="23" spans="1:4" ht="15.75" x14ac:dyDescent="0.25">
      <c r="A23" s="1">
        <v>2</v>
      </c>
      <c r="B23" s="23" t="s">
        <v>6</v>
      </c>
      <c r="C23" s="24">
        <f>FV($C$17,$A23*12,$C$15*-1)</f>
        <v>40826.881631749144</v>
      </c>
      <c r="D23" s="25" cm="1">
        <f t="array" ref="D23">C23*rendimento_carteira</f>
        <v>244.96128979049487</v>
      </c>
    </row>
    <row r="24" spans="1:4" ht="15.75" x14ac:dyDescent="0.25">
      <c r="A24" s="1">
        <v>5</v>
      </c>
      <c r="B24" s="26" t="s">
        <v>7</v>
      </c>
      <c r="C24" s="27">
        <f t="shared" ref="C24:C27" si="0">FV($C$17,$A24*12,$C$15*-1)</f>
        <v>125543.49501025397</v>
      </c>
      <c r="D24" s="28" cm="1">
        <f t="array" ref="D24">C24*rendimento_carteira</f>
        <v>753.26097006152384</v>
      </c>
    </row>
    <row r="25" spans="1:4" ht="15.75" x14ac:dyDescent="0.25">
      <c r="A25" s="1">
        <v>10</v>
      </c>
      <c r="B25" s="26" t="s">
        <v>8</v>
      </c>
      <c r="C25" s="27">
        <f t="shared" si="0"/>
        <v>364147.1099803964</v>
      </c>
      <c r="D25" s="28" cm="1">
        <f t="array" ref="D25">C25*rendimento_carteira</f>
        <v>2184.8826598823784</v>
      </c>
    </row>
    <row r="26" spans="1:4" ht="15.75" x14ac:dyDescent="0.25">
      <c r="A26" s="1">
        <v>20</v>
      </c>
      <c r="B26" s="26" t="s">
        <v>9</v>
      </c>
      <c r="C26" s="27">
        <f t="shared" si="0"/>
        <v>1679500.5843128767</v>
      </c>
      <c r="D26" s="28" cm="1">
        <f t="array" ref="D26">C26*rendimento_carteira</f>
        <v>10077.003505877261</v>
      </c>
    </row>
    <row r="27" spans="1:4" ht="16.5" thickBot="1" x14ac:dyDescent="0.3">
      <c r="A27" s="1">
        <v>30</v>
      </c>
      <c r="B27" s="29" t="s">
        <v>10</v>
      </c>
      <c r="C27" s="30">
        <f t="shared" si="0"/>
        <v>6430752.7980999602</v>
      </c>
      <c r="D27" s="31" cm="1">
        <f t="array" ref="D27">C27*rendimento_carteira</f>
        <v>38584.516788599765</v>
      </c>
    </row>
    <row r="28" spans="1:4" x14ac:dyDescent="0.25">
      <c r="A28" s="1"/>
    </row>
    <row r="29" spans="1:4" ht="15.75" x14ac:dyDescent="0.25">
      <c r="B29" s="39" t="s">
        <v>17</v>
      </c>
      <c r="C29" s="49" t="s">
        <v>33</v>
      </c>
      <c r="D29" s="44"/>
    </row>
    <row r="30" spans="1:4" ht="15.75" x14ac:dyDescent="0.25">
      <c r="B30" s="40" t="s">
        <v>19</v>
      </c>
      <c r="C30" s="48">
        <f>aporte</f>
        <v>1500</v>
      </c>
      <c r="D30" s="45"/>
    </row>
    <row r="31" spans="1:4" x14ac:dyDescent="0.25">
      <c r="B31" s="5"/>
      <c r="C31" s="5"/>
      <c r="D31" s="5"/>
    </row>
    <row r="32" spans="1:4" x14ac:dyDescent="0.25">
      <c r="B32" s="46" t="s">
        <v>20</v>
      </c>
      <c r="C32" s="47" t="s">
        <v>27</v>
      </c>
      <c r="D32" s="47" t="s">
        <v>28</v>
      </c>
    </row>
    <row r="33" spans="2:4" x14ac:dyDescent="0.25">
      <c r="B33" s="41" t="s">
        <v>21</v>
      </c>
      <c r="C33" s="42">
        <f>VLOOKUP($C$29&amp;"-"&amp;B33,Planilha2!$A:$D,4,FALSE)</f>
        <v>0.5</v>
      </c>
      <c r="D33" s="43">
        <f>$C$30*C33</f>
        <v>750</v>
      </c>
    </row>
    <row r="34" spans="2:4" x14ac:dyDescent="0.25">
      <c r="B34" s="41" t="s">
        <v>22</v>
      </c>
      <c r="C34" s="42">
        <f>VLOOKUP($C$29&amp;"-"&amp;B34,Planilha2!$A:$D,4,FALSE)</f>
        <v>0.1</v>
      </c>
      <c r="D34" s="43">
        <f t="shared" ref="D34:D39" si="1">$C$30*C34</f>
        <v>150</v>
      </c>
    </row>
    <row r="35" spans="2:4" x14ac:dyDescent="0.25">
      <c r="B35" s="41" t="s">
        <v>23</v>
      </c>
      <c r="C35" s="42">
        <f>VLOOKUP($C$29&amp;"-"&amp;B35,Planilha2!$A:$D,4,FALSE)</f>
        <v>0.05</v>
      </c>
      <c r="D35" s="43">
        <f t="shared" si="1"/>
        <v>75</v>
      </c>
    </row>
    <row r="36" spans="2:4" x14ac:dyDescent="0.25">
      <c r="B36" s="41" t="s">
        <v>24</v>
      </c>
      <c r="C36" s="42">
        <f>VLOOKUP($C$29&amp;"-"&amp;B36,Planilha2!$A:$D,4,FALSE)</f>
        <v>0.05</v>
      </c>
      <c r="D36" s="43">
        <f t="shared" si="1"/>
        <v>75</v>
      </c>
    </row>
    <row r="37" spans="2:4" x14ac:dyDescent="0.25">
      <c r="B37" s="41" t="s">
        <v>25</v>
      </c>
      <c r="C37" s="42">
        <f>VLOOKUP($C$29&amp;"-"&amp;B37,Planilha2!$A:$D,4,FALSE)</f>
        <v>0.2</v>
      </c>
      <c r="D37" s="43">
        <f t="shared" si="1"/>
        <v>300</v>
      </c>
    </row>
    <row r="38" spans="2:4" x14ac:dyDescent="0.25">
      <c r="B38" s="41" t="s">
        <v>26</v>
      </c>
      <c r="C38" s="42">
        <f>VLOOKUP($C$29&amp;"-"&amp;B38,Planilha2!$A:$D,4,FALSE)</f>
        <v>0.1</v>
      </c>
      <c r="D38" s="43">
        <f t="shared" si="1"/>
        <v>150</v>
      </c>
    </row>
    <row r="39" spans="2:4" x14ac:dyDescent="0.25">
      <c r="B39" s="47" t="s">
        <v>29</v>
      </c>
      <c r="C39" s="58">
        <f>SUM(C33:C38)</f>
        <v>1.0000000000000002</v>
      </c>
      <c r="D39" s="59">
        <f t="shared" si="1"/>
        <v>1500.0000000000002</v>
      </c>
    </row>
    <row r="40" spans="2:4" x14ac:dyDescent="0.25"/>
    <row r="41" spans="2:4" x14ac:dyDescent="0.25"/>
    <row r="42" spans="2:4" x14ac:dyDescent="0.25"/>
  </sheetData>
  <mergeCells count="3">
    <mergeCell ref="B14:C14"/>
    <mergeCell ref="B22:C22"/>
    <mergeCell ref="B9:C9"/>
  </mergeCells>
  <dataValidations count="1">
    <dataValidation type="list" allowBlank="1" showInputMessage="1" showErrorMessage="1" sqref="C29" xr:uid="{3EC450C6-AD75-4C72-9E2D-DD1C10F43FD6}">
      <formula1>"MODERADO,AGRESSIVO,CONSERVADOR"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5B5BA-1B84-4BFD-9C2D-0C89DA8023D0}">
  <dimension ref="A2:G20"/>
  <sheetViews>
    <sheetView workbookViewId="0">
      <selection activeCell="C31" sqref="C31"/>
    </sheetView>
  </sheetViews>
  <sheetFormatPr defaultRowHeight="15" x14ac:dyDescent="0.25"/>
  <cols>
    <col min="1" max="1" width="43.7109375" customWidth="1"/>
    <col min="2" max="2" width="19.85546875" customWidth="1"/>
    <col min="3" max="3" width="26.140625" customWidth="1"/>
    <col min="4" max="4" width="16" customWidth="1"/>
    <col min="6" max="6" width="24.42578125" customWidth="1"/>
    <col min="7" max="7" width="19.140625" customWidth="1"/>
  </cols>
  <sheetData>
    <row r="2" spans="1:7" x14ac:dyDescent="0.25">
      <c r="A2" t="s">
        <v>32</v>
      </c>
      <c r="B2" t="s">
        <v>31</v>
      </c>
      <c r="C2" s="46" t="s">
        <v>20</v>
      </c>
    </row>
    <row r="3" spans="1:7" x14ac:dyDescent="0.25">
      <c r="A3" t="str">
        <f>$B$3&amp;"-"&amp;C3</f>
        <v>CONSERVADOR-PAPEL</v>
      </c>
      <c r="B3" t="s">
        <v>30</v>
      </c>
      <c r="C3" s="41" t="s">
        <v>21</v>
      </c>
      <c r="D3" s="42">
        <v>0.3</v>
      </c>
    </row>
    <row r="4" spans="1:7" x14ac:dyDescent="0.25">
      <c r="A4" t="str">
        <f t="shared" ref="A4:A20" si="0">$B$3&amp;"-"&amp;C4</f>
        <v>CONSERVADOR-TIJOLO</v>
      </c>
      <c r="B4" t="s">
        <v>30</v>
      </c>
      <c r="C4" s="41" t="s">
        <v>22</v>
      </c>
      <c r="D4" s="42">
        <v>0.5</v>
      </c>
    </row>
    <row r="5" spans="1:7" x14ac:dyDescent="0.25">
      <c r="A5" t="str">
        <f t="shared" si="0"/>
        <v>CONSERVADOR-HIBRIDOS</v>
      </c>
      <c r="B5" t="s">
        <v>30</v>
      </c>
      <c r="C5" s="41" t="s">
        <v>23</v>
      </c>
      <c r="D5" s="42">
        <v>0.1</v>
      </c>
    </row>
    <row r="6" spans="1:7" x14ac:dyDescent="0.25">
      <c r="A6" t="str">
        <f t="shared" si="0"/>
        <v>CONSERVADOR-FOFs</v>
      </c>
      <c r="B6" t="s">
        <v>30</v>
      </c>
      <c r="C6" s="41" t="s">
        <v>24</v>
      </c>
      <c r="D6" s="42">
        <v>0.1</v>
      </c>
      <c r="F6" s="56" t="s">
        <v>34</v>
      </c>
      <c r="G6" s="57">
        <f>VLOOKUP(F6,$A:$D,4,FALSE)</f>
        <v>0.35</v>
      </c>
    </row>
    <row r="7" spans="1:7" x14ac:dyDescent="0.25">
      <c r="A7" t="str">
        <f t="shared" si="0"/>
        <v>CONSERVADOR-DESENVOLVIMENTO</v>
      </c>
      <c r="B7" t="s">
        <v>30</v>
      </c>
      <c r="C7" s="41" t="s">
        <v>25</v>
      </c>
      <c r="D7" s="42">
        <v>0</v>
      </c>
    </row>
    <row r="8" spans="1:7" ht="15.75" thickBot="1" x14ac:dyDescent="0.3">
      <c r="A8" s="3" t="str">
        <f t="shared" si="0"/>
        <v>CONSERVADOR-HOTELARIAS</v>
      </c>
      <c r="B8" s="3" t="s">
        <v>30</v>
      </c>
      <c r="C8" s="50" t="s">
        <v>26</v>
      </c>
      <c r="D8" s="51">
        <v>0</v>
      </c>
    </row>
    <row r="9" spans="1:7" x14ac:dyDescent="0.25">
      <c r="A9" t="str">
        <f>$B$9&amp;"-"&amp;C9</f>
        <v>MODERADO-PAPEL</v>
      </c>
      <c r="B9" t="s">
        <v>18</v>
      </c>
      <c r="C9" s="41" t="s">
        <v>21</v>
      </c>
      <c r="D9" s="52">
        <v>0.32</v>
      </c>
    </row>
    <row r="10" spans="1:7" x14ac:dyDescent="0.25">
      <c r="A10" t="str">
        <f t="shared" ref="A10:A13" si="1">$B$9&amp;"-"&amp;C10</f>
        <v>MODERADO-TIJOLO</v>
      </c>
      <c r="B10" t="s">
        <v>18</v>
      </c>
      <c r="C10" s="41" t="s">
        <v>22</v>
      </c>
      <c r="D10" s="52">
        <v>0.35</v>
      </c>
    </row>
    <row r="11" spans="1:7" x14ac:dyDescent="0.25">
      <c r="A11" t="str">
        <f t="shared" si="1"/>
        <v>MODERADO-HIBRIDOS</v>
      </c>
      <c r="B11" t="s">
        <v>18</v>
      </c>
      <c r="C11" s="41" t="s">
        <v>23</v>
      </c>
      <c r="D11" s="52">
        <v>0.08</v>
      </c>
    </row>
    <row r="12" spans="1:7" x14ac:dyDescent="0.25">
      <c r="A12" t="str">
        <f t="shared" si="1"/>
        <v>MODERADO-FOFs</v>
      </c>
      <c r="B12" t="s">
        <v>18</v>
      </c>
      <c r="C12" s="41" t="s">
        <v>24</v>
      </c>
      <c r="D12" s="52">
        <v>0.05</v>
      </c>
    </row>
    <row r="13" spans="1:7" x14ac:dyDescent="0.25">
      <c r="A13" t="str">
        <f t="shared" si="1"/>
        <v>MODERADO-DESENVOLVIMENTO</v>
      </c>
      <c r="B13" t="s">
        <v>18</v>
      </c>
      <c r="C13" s="41" t="s">
        <v>25</v>
      </c>
      <c r="D13" s="52">
        <v>0.1</v>
      </c>
    </row>
    <row r="14" spans="1:7" s="2" customFormat="1" ht="15.75" thickBot="1" x14ac:dyDescent="0.3">
      <c r="A14" s="3" t="str">
        <f>$B$9&amp;"-"&amp;C14</f>
        <v>MODERADO-HOTELARIAS</v>
      </c>
      <c r="B14" s="3" t="s">
        <v>18</v>
      </c>
      <c r="C14" s="50" t="s">
        <v>26</v>
      </c>
      <c r="D14" s="55">
        <v>0.1</v>
      </c>
    </row>
    <row r="15" spans="1:7" x14ac:dyDescent="0.25">
      <c r="A15" t="str">
        <f>$B$15&amp;"-"&amp;C15</f>
        <v>AGRESSIVO-PAPEL</v>
      </c>
      <c r="B15" t="s">
        <v>33</v>
      </c>
      <c r="C15" s="41" t="s">
        <v>21</v>
      </c>
      <c r="D15" s="52">
        <v>0.5</v>
      </c>
    </row>
    <row r="16" spans="1:7" x14ac:dyDescent="0.25">
      <c r="A16" t="str">
        <f t="shared" ref="A16:A20" si="2">$B$15&amp;"-"&amp;C16</f>
        <v>AGRESSIVO-TIJOLO</v>
      </c>
      <c r="B16" t="s">
        <v>33</v>
      </c>
      <c r="C16" s="41" t="s">
        <v>22</v>
      </c>
      <c r="D16" s="52">
        <v>0.1</v>
      </c>
    </row>
    <row r="17" spans="1:4" x14ac:dyDescent="0.25">
      <c r="A17" t="str">
        <f t="shared" si="2"/>
        <v>AGRESSIVO-HIBRIDOS</v>
      </c>
      <c r="B17" t="s">
        <v>33</v>
      </c>
      <c r="C17" s="41" t="s">
        <v>23</v>
      </c>
      <c r="D17" s="52">
        <v>0.05</v>
      </c>
    </row>
    <row r="18" spans="1:4" x14ac:dyDescent="0.25">
      <c r="A18" t="str">
        <f t="shared" si="2"/>
        <v>AGRESSIVO-FOFs</v>
      </c>
      <c r="B18" t="s">
        <v>33</v>
      </c>
      <c r="C18" s="41" t="s">
        <v>24</v>
      </c>
      <c r="D18" s="52">
        <v>0.05</v>
      </c>
    </row>
    <row r="19" spans="1:4" x14ac:dyDescent="0.25">
      <c r="A19" t="str">
        <f t="shared" si="2"/>
        <v>AGRESSIVO-DESENVOLVIMENTO</v>
      </c>
      <c r="B19" t="s">
        <v>33</v>
      </c>
      <c r="C19" s="41" t="s">
        <v>25</v>
      </c>
      <c r="D19" s="53">
        <v>0.2</v>
      </c>
    </row>
    <row r="20" spans="1:4" ht="15.75" thickBot="1" x14ac:dyDescent="0.3">
      <c r="A20" s="3" t="str">
        <f t="shared" si="2"/>
        <v>AGRESSIVO-HOTELARIAS</v>
      </c>
      <c r="B20" s="3" t="s">
        <v>33</v>
      </c>
      <c r="C20" s="50" t="s">
        <v>26</v>
      </c>
      <c r="D20" s="5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Planilha1</vt:lpstr>
      <vt:lpstr>Planilha2</vt:lpstr>
      <vt:lpstr>aporte</vt:lpstr>
      <vt:lpstr>patrimonio</vt:lpstr>
      <vt:lpstr>qts_anos</vt:lpstr>
      <vt:lpstr>rendimento_carteira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Vinícius Nascimento</dc:creator>
  <cp:lastModifiedBy>Marcus Vinícius Nascimento</cp:lastModifiedBy>
  <dcterms:created xsi:type="dcterms:W3CDTF">2026-02-19T23:12:37Z</dcterms:created>
  <dcterms:modified xsi:type="dcterms:W3CDTF">2026-02-20T01:46:12Z</dcterms:modified>
</cp:coreProperties>
</file>